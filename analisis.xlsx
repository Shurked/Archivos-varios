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Usuarios\prac-jcastaneda\Downloads\"/>
    </mc:Choice>
  </mc:AlternateContent>
  <xr:revisionPtr revIDLastSave="0" documentId="13_ncr:1_{63F6CDFF-1EFC-44B1-8FFE-F6925E1E38E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nálisis Tributario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  <c r="H26" i="2"/>
  <c r="I25" i="2"/>
  <c r="H25" i="2"/>
  <c r="I21" i="2"/>
  <c r="I23" i="2"/>
  <c r="H21" i="2"/>
  <c r="H23" i="2"/>
  <c r="I19" i="2"/>
  <c r="H19" i="2"/>
  <c r="J13" i="2"/>
  <c r="I13" i="2"/>
  <c r="I14" i="2"/>
  <c r="G18" i="1"/>
  <c r="F18" i="1"/>
  <c r="N7" i="1"/>
  <c r="N6" i="1"/>
  <c r="N5" i="1"/>
  <c r="I12" i="1"/>
  <c r="D11" i="1"/>
  <c r="D10" i="1"/>
  <c r="D9" i="1"/>
  <c r="I7" i="1"/>
  <c r="I6" i="1"/>
  <c r="I5" i="1"/>
  <c r="H5" i="1"/>
  <c r="D6" i="1"/>
  <c r="D7" i="1"/>
  <c r="D5" i="1"/>
  <c r="C5" i="1"/>
</calcChain>
</file>

<file path=xl/sharedStrings.xml><?xml version="1.0" encoding="utf-8"?>
<sst xmlns="http://schemas.openxmlformats.org/spreadsheetml/2006/main" count="238" uniqueCount="165">
  <si>
    <t>ANÁLISIS TRIBUTARIO - JC Y CARAL</t>
  </si>
  <si>
    <t>Estructura: JC contrata con Electrocentro, subcontrata 90% a Caral, se queda con 10%</t>
  </si>
  <si>
    <t>DATOS BASE DE LA OPERACIÓN</t>
  </si>
  <si>
    <t>Monto total facturado (incluye IGV)</t>
  </si>
  <si>
    <t>Porcentaje de JC</t>
  </si>
  <si>
    <t>10%</t>
  </si>
  <si>
    <t>Porcentaje de Caral</t>
  </si>
  <si>
    <t>90%</t>
  </si>
  <si>
    <t>IGV (incluido en el monto)</t>
  </si>
  <si>
    <t>18%</t>
  </si>
  <si>
    <t>Detracción aplicable</t>
  </si>
  <si>
    <t>12%</t>
  </si>
  <si>
    <t>Fondo de garantía</t>
  </si>
  <si>
    <t>1. DESGLOSE DE IGV</t>
  </si>
  <si>
    <t>Total facturado (con IGV)</t>
  </si>
  <si>
    <t>300,000.00</t>
  </si>
  <si>
    <t>Factor de IGV</t>
  </si>
  <si>
    <t>1.18</t>
  </si>
  <si>
    <t>Base imponible (sin IGV)</t>
  </si>
  <si>
    <t>254,237.29</t>
  </si>
  <si>
    <t>IGV incluido en el monto</t>
  </si>
  <si>
    <t>45,762.71</t>
  </si>
  <si>
    <t>Base imponible total</t>
  </si>
  <si>
    <t>Porcentaje JC</t>
  </si>
  <si>
    <t>0.10</t>
  </si>
  <si>
    <t>IGV total</t>
  </si>
  <si>
    <t>IGV JC</t>
  </si>
  <si>
    <t>4,576.27</t>
  </si>
  <si>
    <t>IGV Caral</t>
  </si>
  <si>
    <t>41,186.44</t>
  </si>
  <si>
    <t>2. CÁLCULO DE DETRACCIÓN</t>
  </si>
  <si>
    <t>Monto sobre el que se calcula</t>
  </si>
  <si>
    <t>Porcentaje de detracción</t>
  </si>
  <si>
    <t>0.12</t>
  </si>
  <si>
    <t>Detracción total</t>
  </si>
  <si>
    <t>36,000.00</t>
  </si>
  <si>
    <t>Distribución de la detracción:</t>
  </si>
  <si>
    <t>Detracción para Caral (90%)</t>
  </si>
  <si>
    <t>32,400.00</t>
  </si>
  <si>
    <t>Detracción para JC (10%)</t>
  </si>
  <si>
    <t>3,600.00</t>
  </si>
  <si>
    <t>3. FONDO DE GARANTÍA</t>
  </si>
  <si>
    <t>Total facturado</t>
  </si>
  <si>
    <t>Porcentaje de fondo</t>
  </si>
  <si>
    <t>Fondo de garantía total</t>
  </si>
  <si>
    <t>30,000.00</t>
  </si>
  <si>
    <t>Distribución del fondo:</t>
  </si>
  <si>
    <t>Fondo para JC (100%, según acuerdo)</t>
  </si>
  <si>
    <t>Nota: JC se queda con el 10% como margen</t>
  </si>
  <si>
    <t>4. FLUJO DE CAJA: ELECTROCENTRO PAGA A JC</t>
  </si>
  <si>
    <t>MONTO</t>
  </si>
  <si>
    <t>DESCRIPCIÓN</t>
  </si>
  <si>
    <t>Factura emitida por JC</t>
  </si>
  <si>
    <t>Incluye IGV</t>
  </si>
  <si>
    <t>Menos: Detracción (12%)</t>
  </si>
  <si>
    <t>-36,000.00</t>
  </si>
  <si>
    <t>Banco de la Nación (congelado)</t>
  </si>
  <si>
    <t>Menos: Fondo de garantía (10%)</t>
  </si>
  <si>
    <t>-30,000.00</t>
  </si>
  <si>
    <t>Se devuelve al final del contrato</t>
  </si>
  <si>
    <t>EFECTIVO que recibe JC</t>
  </si>
  <si>
    <t>234,000.00</t>
  </si>
  <si>
    <t>En cuenta corriente</t>
  </si>
  <si>
    <t>Fondos disponibles para JC:</t>
  </si>
  <si>
    <t>Efectivo en caja</t>
  </si>
  <si>
    <t>Detracción en Banco de la Nación</t>
  </si>
  <si>
    <t>Congelado, no disponible</t>
  </si>
  <si>
    <t>Congelado, se devuelve después</t>
  </si>
  <si>
    <t>TOTAL TEÓRICO</t>
  </si>
  <si>
    <t>5. OBLIGACIÓN DE JC CON CARAL</t>
  </si>
  <si>
    <t>Porcentaje del servicio que corresponde a Caral</t>
  </si>
  <si>
    <t>Monto que Caral debería recibir</t>
  </si>
  <si>
    <t>270,000.00</t>
  </si>
  <si>
    <t>90% del total</t>
  </si>
  <si>
    <t>Problema de caja:</t>
  </si>
  <si>
    <t>JC recibe en efectivo de Electrocentro</t>
  </si>
  <si>
    <t>JC debe pagar a Caral</t>
  </si>
  <si>
    <t>DÉFICIT DE EFECTIVO</t>
  </si>
  <si>
    <t>JC tiene que financiar esto</t>
  </si>
  <si>
    <t>6. OPCIONES DE CÓMO PAGAR A CARAL</t>
  </si>
  <si>
    <t>OPCIÓN A: Caral emite factura por 234,000 (solo efectivo)</t>
  </si>
  <si>
    <t>Caral emite factura por:</t>
  </si>
  <si>
    <t>JC paga en efectivo:</t>
  </si>
  <si>
    <t>Todo lo que recibió de Electrocentro</t>
  </si>
  <si>
    <t>JC debe a Caral después:</t>
  </si>
  <si>
    <t>Financiamiento o crédito</t>
  </si>
  <si>
    <t>OPCIÓN B: Caral emite factura por 270,000 (valor real)</t>
  </si>
  <si>
    <t>JC debe a Caral en efectivo:</t>
  </si>
  <si>
    <t>JC debe financiarse esto</t>
  </si>
  <si>
    <t>Pero JC tiene en detracción:</t>
  </si>
  <si>
    <t>Pendiente de usar/recuperar</t>
  </si>
  <si>
    <t>OPCIÓN C: Usar la detracción (CORRECTA TRIBUTARIAMENTE)</t>
  </si>
  <si>
    <t>Valor real del servicio</t>
  </si>
  <si>
    <t>JC paga:</t>
  </si>
  <si>
    <t>234,000 efectivo + 36,000 detracción asignada</t>
  </si>
  <si>
    <t>¿Cómo? Los 36,000 de detracción se usan después para impuestos de JC</t>
  </si>
  <si>
    <t>Entonces Caral espera o se auto-financia:</t>
  </si>
  <si>
    <t>7. TRIBUTACIÓN DE JC - ESCENARIO CORRECTO (Caral factura 270,000)</t>
  </si>
  <si>
    <t>CONCEPTO</t>
  </si>
  <si>
    <t>INGRESOS</t>
  </si>
  <si>
    <t>Base imponible (100% del servicio)</t>
  </si>
  <si>
    <t>IGV cobrado (incluido en 300,000)</t>
  </si>
  <si>
    <t>GASTOS</t>
  </si>
  <si>
    <t>Factura de Caral (base imponible)</t>
  </si>
  <si>
    <t>228,813.56</t>
  </si>
  <si>
    <t>IGV deducible (en factura de Caral)</t>
  </si>
  <si>
    <t>RESULTADO TRIBUTARIO</t>
  </si>
  <si>
    <t>Utilidad bruta (base)</t>
  </si>
  <si>
    <t>25,423.73</t>
  </si>
  <si>
    <t>IGV a pagar (cobrado - deducible)</t>
  </si>
  <si>
    <t>DETRACCIÓN</t>
  </si>
  <si>
    <t>Detracción total retenida</t>
  </si>
  <si>
    <t>USO DE DETRACCIÓN</t>
  </si>
  <si>
    <t>IGV que JC debe pagar a SUNAT</t>
  </si>
  <si>
    <t>Usa de su detracción para pagar IGV</t>
  </si>
  <si>
    <t>Detracción sobrante para JC</t>
  </si>
  <si>
    <t>-976.27</t>
  </si>
  <si>
    <t>8. MARGEN REAL DE JC</t>
  </si>
  <si>
    <t>Utilidad bruta tributaria</t>
  </si>
  <si>
    <t>Ingresos - Gastos</t>
  </si>
  <si>
    <t>No es ingreso, es reserva</t>
  </si>
  <si>
    <t>Detracción sobrante</t>
  </si>
  <si>
    <t>Saldo después de pagar IGV</t>
  </si>
  <si>
    <t>DINERO EN CAJA QUE JC NECESITA PARA CERRAR:</t>
  </si>
  <si>
    <t>JC recibió en efectivo</t>
  </si>
  <si>
    <t>FALTA EN CAJA</t>
  </si>
  <si>
    <t>JC debe financiar de otro lado</t>
  </si>
  <si>
    <t>IGV que debe pagar</t>
  </si>
  <si>
    <t>Neto</t>
  </si>
  <si>
    <t>Detracción real</t>
  </si>
  <si>
    <t>Monto sobre los 300k</t>
  </si>
  <si>
    <t>Montos del 90%</t>
  </si>
  <si>
    <t>Lo que pagará realmente JC</t>
  </si>
  <si>
    <t>JC 10%</t>
  </si>
  <si>
    <t>Caral</t>
  </si>
  <si>
    <t>Total que factura JC</t>
  </si>
  <si>
    <t>Para JC:</t>
  </si>
  <si>
    <t>Débito Fiscal:</t>
  </si>
  <si>
    <t>Crédito Fiscal:</t>
  </si>
  <si>
    <t>IGV final:</t>
  </si>
  <si>
    <t>Para Caral</t>
  </si>
  <si>
    <t>IGV a pagar:</t>
  </si>
  <si>
    <t>Pero Caral solo recibe 234k de los 270k, porque Electrocentro deposita 300k - 12% detracción - 10% fondo de garantía</t>
  </si>
  <si>
    <t>Monto - detracción total</t>
  </si>
  <si>
    <t>CARAL 90%</t>
  </si>
  <si>
    <t>Detracción</t>
  </si>
  <si>
    <t>Recibo</t>
  </si>
  <si>
    <t>10% JC</t>
  </si>
  <si>
    <t>90% CARAL</t>
  </si>
  <si>
    <t>10% FONDO</t>
  </si>
  <si>
    <t>Detracciones</t>
  </si>
  <si>
    <t>ACUERDO JC - CARAL:</t>
  </si>
  <si>
    <t>1. JC recibe de Electrocentro: 300,000</t>
  </si>
  <si>
    <t>2. JC retiene por detracción: 36,000 (congelado)</t>
  </si>
  <si>
    <t>3. JC retiene por fondo: 30,000 (congelado)</t>
  </si>
  <si>
    <t>4. JC pasa a Caral EN EFECTIVO: 234,000</t>
  </si>
  <si>
    <t>5. CARAL RECONOCE que:</t>
  </si>
  <si>
    <t xml:space="preserve">   - Ejecuta el 90% del servicio</t>
  </si>
  <si>
    <t xml:space="preserve">   - Recibe 234,000 en efectivo ahora</t>
  </si>
  <si>
    <t xml:space="preserve">   - Los 32,400 de detracción son para DESPUÉS (cuando JC los recupere)</t>
  </si>
  <si>
    <t xml:space="preserve">   - JC le transferirá esos 32,400 (o compensará de otra forma) en X días</t>
  </si>
  <si>
    <t>INGRESOS: S/ 300,000 (factura a Electrocentro)</t>
  </si>
  <si>
    <t>GASTOS: S/ 270,000 (factura de Caral)</t>
  </si>
  <si>
    <t>GANANCIA: S/ 30,000 (más fondo + detracción)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</si>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</sst>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name val="Calibri"/>
    </font>
    <font>
      <b/>
      <sz val="10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5" fillId="0" borderId="0" xfId="0" applyFont="1"/>
    <xf numFmtId="0" fontId="6" fillId="4" borderId="0" xfId="0" applyFont="1" applyFill="1"/>
    <xf numFmtId="4" fontId="6" fillId="4" borderId="1" xfId="0" applyNumberFormat="1" applyFont="1" applyFill="1" applyBorder="1"/>
    <xf numFmtId="4" fontId="0" fillId="5" borderId="1" xfId="0" applyNumberFormat="1" applyFill="1" applyBorder="1"/>
    <xf numFmtId="0" fontId="7" fillId="5" borderId="0" xfId="0" applyFont="1" applyFill="1"/>
    <xf numFmtId="4" fontId="7" fillId="5" borderId="1" xfId="0" applyNumberFormat="1" applyFont="1" applyFill="1" applyBorder="1"/>
    <xf numFmtId="0" fontId="0" fillId="5" borderId="0" xfId="0" applyFill="1"/>
    <xf numFmtId="0" fontId="1" fillId="0" borderId="0" xfId="0" applyFont="1"/>
    <xf numFmtId="0" fontId="0" fillId="0" borderId="0" xfId="0"/>
    <xf numFmtId="0" fontId="4" fillId="3" borderId="0" xfId="0" applyFont="1" applyFill="1"/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zoomScale="85" zoomScaleNormal="85" workbookViewId="0">
      <selection activeCell="C9" sqref="C9:E11"/>
    </sheetView>
  </sheetViews>
  <sheetFormatPr baseColWidth="10" defaultColWidth="8.88671875" defaultRowHeight="14.4" x14ac:dyDescent="0.3"/>
  <cols>
    <col min="1" max="1" width="35" customWidth="1"/>
    <col min="2" max="4" width="18" customWidth="1"/>
    <col min="6" max="6" width="18.77734375" bestFit="1" customWidth="1"/>
    <col min="7" max="7" width="14.109375" bestFit="1" customWidth="1"/>
  </cols>
  <sheetData>
    <row r="1" spans="1:15" ht="18" x14ac:dyDescent="0.35">
      <c r="A1" s="10" t="s">
        <v>0</v>
      </c>
      <c r="B1" s="11"/>
      <c r="C1" s="11"/>
      <c r="D1" s="11"/>
    </row>
    <row r="2" spans="1:15" x14ac:dyDescent="0.3">
      <c r="A2" s="14" t="s">
        <v>1</v>
      </c>
      <c r="B2" s="11"/>
      <c r="C2" s="11"/>
      <c r="D2" s="11"/>
    </row>
    <row r="4" spans="1:15" x14ac:dyDescent="0.3">
      <c r="A4" s="13" t="s">
        <v>2</v>
      </c>
      <c r="B4" s="11"/>
      <c r="C4" s="11"/>
      <c r="D4" s="11"/>
    </row>
    <row r="5" spans="1:15" x14ac:dyDescent="0.3">
      <c r="A5" t="s">
        <v>3</v>
      </c>
      <c r="B5" s="2">
        <v>300000</v>
      </c>
      <c r="C5">
        <f>B5*0.1</f>
        <v>30000</v>
      </c>
      <c r="D5">
        <f>C5*0.18</f>
        <v>5400</v>
      </c>
      <c r="E5" t="s">
        <v>127</v>
      </c>
      <c r="H5">
        <f>B5*0.9</f>
        <v>270000</v>
      </c>
      <c r="I5">
        <f>H5*0.18</f>
        <v>48600</v>
      </c>
      <c r="J5" t="s">
        <v>127</v>
      </c>
      <c r="M5">
        <v>234000</v>
      </c>
      <c r="N5">
        <f>M5*0.18</f>
        <v>42120</v>
      </c>
      <c r="O5" t="s">
        <v>127</v>
      </c>
    </row>
    <row r="6" spans="1:15" x14ac:dyDescent="0.3">
      <c r="A6" t="s">
        <v>4</v>
      </c>
      <c r="B6" s="1" t="s">
        <v>5</v>
      </c>
      <c r="D6">
        <f>C5*0.12</f>
        <v>3600</v>
      </c>
      <c r="E6" t="s">
        <v>129</v>
      </c>
      <c r="I6">
        <f>H5*0.12</f>
        <v>32400</v>
      </c>
      <c r="J6" t="s">
        <v>129</v>
      </c>
      <c r="N6">
        <f>M5*0.12</f>
        <v>28080</v>
      </c>
      <c r="O6" t="s">
        <v>129</v>
      </c>
    </row>
    <row r="7" spans="1:15" x14ac:dyDescent="0.3">
      <c r="A7" t="s">
        <v>6</v>
      </c>
      <c r="B7" s="1" t="s">
        <v>7</v>
      </c>
      <c r="D7">
        <f>C5*0.82</f>
        <v>24600</v>
      </c>
      <c r="E7" t="s">
        <v>128</v>
      </c>
      <c r="I7">
        <f>H5*0.82</f>
        <v>221400</v>
      </c>
      <c r="J7" t="s">
        <v>128</v>
      </c>
      <c r="N7">
        <f>M5*0.82</f>
        <v>191880</v>
      </c>
      <c r="O7" t="s">
        <v>128</v>
      </c>
    </row>
    <row r="8" spans="1:15" x14ac:dyDescent="0.3">
      <c r="A8" t="s">
        <v>8</v>
      </c>
      <c r="B8" s="1" t="s">
        <v>9</v>
      </c>
    </row>
    <row r="9" spans="1:15" x14ac:dyDescent="0.3">
      <c r="A9" t="s">
        <v>10</v>
      </c>
      <c r="B9" s="1" t="s">
        <v>11</v>
      </c>
      <c r="C9">
        <v>300000</v>
      </c>
      <c r="D9">
        <f>C9*0.18</f>
        <v>54000</v>
      </c>
      <c r="E9" t="s">
        <v>127</v>
      </c>
      <c r="I9">
        <v>300000</v>
      </c>
      <c r="J9" t="s">
        <v>127</v>
      </c>
    </row>
    <row r="10" spans="1:15" x14ac:dyDescent="0.3">
      <c r="A10" t="s">
        <v>12</v>
      </c>
      <c r="B10" s="1" t="s">
        <v>5</v>
      </c>
      <c r="D10">
        <f>C9*0.12</f>
        <v>36000</v>
      </c>
      <c r="E10" t="s">
        <v>129</v>
      </c>
      <c r="I10">
        <v>30000</v>
      </c>
      <c r="J10" t="s">
        <v>129</v>
      </c>
    </row>
    <row r="11" spans="1:15" x14ac:dyDescent="0.3">
      <c r="D11">
        <f>C9*0.82</f>
        <v>245999.99999999997</v>
      </c>
      <c r="E11" t="s">
        <v>128</v>
      </c>
      <c r="I11">
        <v>36000</v>
      </c>
      <c r="J11" t="s">
        <v>128</v>
      </c>
    </row>
    <row r="12" spans="1:15" x14ac:dyDescent="0.3">
      <c r="A12" s="12" t="s">
        <v>13</v>
      </c>
      <c r="B12" s="11"/>
      <c r="C12" s="11"/>
      <c r="D12" s="11"/>
      <c r="I12">
        <f>I9-I10-I11</f>
        <v>234000</v>
      </c>
    </row>
    <row r="13" spans="1:15" x14ac:dyDescent="0.3">
      <c r="A13" t="s">
        <v>14</v>
      </c>
      <c r="B13" s="2" t="s">
        <v>15</v>
      </c>
    </row>
    <row r="14" spans="1:15" x14ac:dyDescent="0.3">
      <c r="A14" t="s">
        <v>16</v>
      </c>
      <c r="B14" s="1" t="s">
        <v>17</v>
      </c>
    </row>
    <row r="15" spans="1:15" x14ac:dyDescent="0.3">
      <c r="A15" t="s">
        <v>18</v>
      </c>
      <c r="B15" s="2" t="s">
        <v>19</v>
      </c>
      <c r="F15" t="s">
        <v>130</v>
      </c>
      <c r="G15" t="s">
        <v>131</v>
      </c>
    </row>
    <row r="16" spans="1:15" x14ac:dyDescent="0.3">
      <c r="A16" t="s">
        <v>20</v>
      </c>
      <c r="B16" s="2" t="s">
        <v>21</v>
      </c>
      <c r="F16">
        <v>54000</v>
      </c>
      <c r="G16">
        <v>36000</v>
      </c>
    </row>
    <row r="17" spans="1:8" x14ac:dyDescent="0.3">
      <c r="A17" s="3" t="s">
        <v>22</v>
      </c>
      <c r="B17" t="s">
        <v>19</v>
      </c>
      <c r="C17" t="s">
        <v>23</v>
      </c>
      <c r="D17" t="s">
        <v>24</v>
      </c>
      <c r="F17">
        <v>48600</v>
      </c>
      <c r="G17">
        <v>32400</v>
      </c>
    </row>
    <row r="18" spans="1:8" x14ac:dyDescent="0.3">
      <c r="A18" t="s">
        <v>25</v>
      </c>
      <c r="B18" s="1" t="s">
        <v>21</v>
      </c>
      <c r="C18" t="s">
        <v>26</v>
      </c>
      <c r="D18" s="1" t="s">
        <v>27</v>
      </c>
      <c r="F18">
        <f>F16-F17</f>
        <v>5400</v>
      </c>
      <c r="G18">
        <f>G16-G17</f>
        <v>3600</v>
      </c>
      <c r="H18" t="s">
        <v>132</v>
      </c>
    </row>
    <row r="19" spans="1:8" x14ac:dyDescent="0.3">
      <c r="B19" s="1"/>
      <c r="C19" t="s">
        <v>28</v>
      </c>
      <c r="D19" s="1" t="s">
        <v>29</v>
      </c>
    </row>
    <row r="21" spans="1:8" x14ac:dyDescent="0.3">
      <c r="A21" s="12" t="s">
        <v>30</v>
      </c>
      <c r="B21" s="11"/>
      <c r="C21" s="11"/>
      <c r="D21" s="11"/>
    </row>
    <row r="22" spans="1:8" x14ac:dyDescent="0.3">
      <c r="A22" t="s">
        <v>31</v>
      </c>
      <c r="B22" s="2" t="s">
        <v>15</v>
      </c>
    </row>
    <row r="23" spans="1:8" x14ac:dyDescent="0.3">
      <c r="A23" t="s">
        <v>32</v>
      </c>
      <c r="B23" s="1" t="s">
        <v>33</v>
      </c>
    </row>
    <row r="24" spans="1:8" x14ac:dyDescent="0.3">
      <c r="A24" t="s">
        <v>34</v>
      </c>
      <c r="B24" s="2" t="s">
        <v>35</v>
      </c>
    </row>
    <row r="26" spans="1:8" x14ac:dyDescent="0.3">
      <c r="A26" t="s">
        <v>36</v>
      </c>
    </row>
    <row r="27" spans="1:8" x14ac:dyDescent="0.3">
      <c r="A27" t="s">
        <v>37</v>
      </c>
      <c r="B27" s="2" t="s">
        <v>38</v>
      </c>
    </row>
    <row r="28" spans="1:8" x14ac:dyDescent="0.3">
      <c r="A28" t="s">
        <v>39</v>
      </c>
      <c r="B28" s="2" t="s">
        <v>40</v>
      </c>
    </row>
    <row r="31" spans="1:8" x14ac:dyDescent="0.3">
      <c r="A31" s="12" t="s">
        <v>41</v>
      </c>
      <c r="B31" s="11"/>
      <c r="C31" s="11"/>
      <c r="D31" s="11"/>
    </row>
    <row r="32" spans="1:8" x14ac:dyDescent="0.3">
      <c r="A32" t="s">
        <v>42</v>
      </c>
      <c r="B32" s="2" t="s">
        <v>15</v>
      </c>
    </row>
    <row r="33" spans="1:4" x14ac:dyDescent="0.3">
      <c r="A33" t="s">
        <v>43</v>
      </c>
      <c r="B33" s="1" t="s">
        <v>24</v>
      </c>
    </row>
    <row r="34" spans="1:4" x14ac:dyDescent="0.3">
      <c r="A34" t="s">
        <v>44</v>
      </c>
      <c r="B34" s="2" t="s">
        <v>45</v>
      </c>
    </row>
    <row r="36" spans="1:4" x14ac:dyDescent="0.3">
      <c r="A36" t="s">
        <v>46</v>
      </c>
    </row>
    <row r="37" spans="1:4" x14ac:dyDescent="0.3">
      <c r="A37" t="s">
        <v>47</v>
      </c>
      <c r="B37" s="2" t="s">
        <v>45</v>
      </c>
    </row>
    <row r="38" spans="1:4" x14ac:dyDescent="0.3">
      <c r="A38" t="s">
        <v>48</v>
      </c>
    </row>
    <row r="40" spans="1:4" x14ac:dyDescent="0.3">
      <c r="A40" s="12" t="s">
        <v>49</v>
      </c>
      <c r="B40" s="11"/>
      <c r="C40" s="11"/>
      <c r="D40" s="11"/>
    </row>
    <row r="41" spans="1:4" x14ac:dyDescent="0.3">
      <c r="B41" s="1" t="s">
        <v>50</v>
      </c>
      <c r="C41" t="s">
        <v>51</v>
      </c>
    </row>
    <row r="42" spans="1:4" x14ac:dyDescent="0.3">
      <c r="A42" t="s">
        <v>52</v>
      </c>
      <c r="B42" s="2" t="s">
        <v>15</v>
      </c>
      <c r="C42" t="s">
        <v>53</v>
      </c>
    </row>
    <row r="43" spans="1:4" x14ac:dyDescent="0.3">
      <c r="A43" t="s">
        <v>54</v>
      </c>
      <c r="B43" s="2" t="s">
        <v>55</v>
      </c>
      <c r="C43" t="s">
        <v>56</v>
      </c>
    </row>
    <row r="44" spans="1:4" x14ac:dyDescent="0.3">
      <c r="A44" t="s">
        <v>57</v>
      </c>
      <c r="B44" s="2" t="s">
        <v>58</v>
      </c>
      <c r="C44" t="s">
        <v>59</v>
      </c>
    </row>
    <row r="45" spans="1:4" x14ac:dyDescent="0.3">
      <c r="A45" s="4" t="s">
        <v>60</v>
      </c>
      <c r="B45" s="5" t="s">
        <v>61</v>
      </c>
      <c r="C45" s="4" t="s">
        <v>62</v>
      </c>
    </row>
    <row r="47" spans="1:4" x14ac:dyDescent="0.3">
      <c r="A47" t="s">
        <v>63</v>
      </c>
    </row>
    <row r="48" spans="1:4" x14ac:dyDescent="0.3">
      <c r="A48" t="s">
        <v>64</v>
      </c>
      <c r="B48" s="2" t="s">
        <v>61</v>
      </c>
    </row>
    <row r="49" spans="1:4" x14ac:dyDescent="0.3">
      <c r="A49" t="s">
        <v>65</v>
      </c>
      <c r="B49" s="6" t="s">
        <v>35</v>
      </c>
      <c r="C49" s="7" t="s">
        <v>66</v>
      </c>
    </row>
    <row r="50" spans="1:4" x14ac:dyDescent="0.3">
      <c r="A50" t="s">
        <v>12</v>
      </c>
      <c r="B50" s="6" t="s">
        <v>45</v>
      </c>
      <c r="C50" s="7" t="s">
        <v>67</v>
      </c>
    </row>
    <row r="51" spans="1:4" x14ac:dyDescent="0.3">
      <c r="A51" t="s">
        <v>68</v>
      </c>
      <c r="B51" s="2" t="s">
        <v>15</v>
      </c>
    </row>
    <row r="54" spans="1:4" x14ac:dyDescent="0.3">
      <c r="A54" s="12" t="s">
        <v>69</v>
      </c>
      <c r="B54" s="11"/>
      <c r="C54" s="11"/>
      <c r="D54" s="11"/>
    </row>
    <row r="55" spans="1:4" x14ac:dyDescent="0.3">
      <c r="A55" t="s">
        <v>70</v>
      </c>
      <c r="B55" s="1" t="s">
        <v>7</v>
      </c>
    </row>
    <row r="56" spans="1:4" x14ac:dyDescent="0.3">
      <c r="A56" t="s">
        <v>71</v>
      </c>
      <c r="B56" s="2" t="s">
        <v>72</v>
      </c>
      <c r="C56" t="s">
        <v>73</v>
      </c>
    </row>
    <row r="57" spans="1:4" x14ac:dyDescent="0.3">
      <c r="B57" s="1"/>
    </row>
    <row r="58" spans="1:4" x14ac:dyDescent="0.3">
      <c r="A58" t="s">
        <v>74</v>
      </c>
      <c r="B58" s="1"/>
    </row>
    <row r="59" spans="1:4" x14ac:dyDescent="0.3">
      <c r="A59" t="s">
        <v>75</v>
      </c>
      <c r="B59" s="2" t="s">
        <v>61</v>
      </c>
    </row>
    <row r="60" spans="1:4" x14ac:dyDescent="0.3">
      <c r="A60" s="7" t="s">
        <v>76</v>
      </c>
      <c r="B60" s="8" t="s">
        <v>72</v>
      </c>
      <c r="C60" s="7"/>
    </row>
    <row r="61" spans="1:4" x14ac:dyDescent="0.3">
      <c r="A61" s="7" t="s">
        <v>77</v>
      </c>
      <c r="B61" s="8" t="s">
        <v>55</v>
      </c>
      <c r="C61" s="7" t="s">
        <v>78</v>
      </c>
    </row>
    <row r="64" spans="1:4" x14ac:dyDescent="0.3">
      <c r="A64" s="12" t="s">
        <v>79</v>
      </c>
      <c r="B64" s="11"/>
      <c r="C64" s="11"/>
      <c r="D64" s="11"/>
    </row>
    <row r="65" spans="1:3" x14ac:dyDescent="0.3">
      <c r="A65" t="s">
        <v>80</v>
      </c>
    </row>
    <row r="66" spans="1:3" x14ac:dyDescent="0.3">
      <c r="A66" t="s">
        <v>81</v>
      </c>
      <c r="B66" s="2" t="s">
        <v>61</v>
      </c>
    </row>
    <row r="67" spans="1:3" x14ac:dyDescent="0.3">
      <c r="A67" t="s">
        <v>82</v>
      </c>
      <c r="B67" s="2" t="s">
        <v>61</v>
      </c>
      <c r="C67" t="s">
        <v>83</v>
      </c>
    </row>
    <row r="68" spans="1:3" x14ac:dyDescent="0.3">
      <c r="A68" t="s">
        <v>84</v>
      </c>
      <c r="B68" s="6" t="s">
        <v>35</v>
      </c>
      <c r="C68" s="9" t="s">
        <v>85</v>
      </c>
    </row>
    <row r="70" spans="1:3" x14ac:dyDescent="0.3">
      <c r="A70" t="s">
        <v>86</v>
      </c>
    </row>
    <row r="71" spans="1:3" x14ac:dyDescent="0.3">
      <c r="A71" t="s">
        <v>81</v>
      </c>
      <c r="B71" s="2" t="s">
        <v>72</v>
      </c>
    </row>
    <row r="72" spans="1:3" x14ac:dyDescent="0.3">
      <c r="A72" t="s">
        <v>82</v>
      </c>
      <c r="B72" s="2" t="s">
        <v>61</v>
      </c>
      <c r="C72" t="s">
        <v>83</v>
      </c>
    </row>
    <row r="73" spans="1:3" x14ac:dyDescent="0.3">
      <c r="A73" t="s">
        <v>87</v>
      </c>
      <c r="B73" s="6" t="s">
        <v>35</v>
      </c>
      <c r="C73" s="9" t="s">
        <v>88</v>
      </c>
    </row>
    <row r="74" spans="1:3" x14ac:dyDescent="0.3">
      <c r="A74" t="s">
        <v>89</v>
      </c>
      <c r="B74" s="2" t="s">
        <v>35</v>
      </c>
      <c r="C74" t="s">
        <v>90</v>
      </c>
    </row>
    <row r="76" spans="1:3" x14ac:dyDescent="0.3">
      <c r="A76" t="s">
        <v>91</v>
      </c>
    </row>
    <row r="77" spans="1:3" x14ac:dyDescent="0.3">
      <c r="A77" t="s">
        <v>81</v>
      </c>
      <c r="B77" s="2" t="s">
        <v>72</v>
      </c>
      <c r="C77" t="s">
        <v>92</v>
      </c>
    </row>
    <row r="78" spans="1:3" x14ac:dyDescent="0.3">
      <c r="A78" t="s">
        <v>93</v>
      </c>
      <c r="B78" s="2" t="s">
        <v>72</v>
      </c>
      <c r="C78" t="s">
        <v>94</v>
      </c>
    </row>
    <row r="79" spans="1:3" x14ac:dyDescent="0.3">
      <c r="A79" t="s">
        <v>95</v>
      </c>
    </row>
    <row r="80" spans="1:3" x14ac:dyDescent="0.3">
      <c r="A80" t="s">
        <v>96</v>
      </c>
      <c r="B80" s="6" t="s">
        <v>35</v>
      </c>
      <c r="C80" s="9"/>
    </row>
    <row r="86" spans="1:4" x14ac:dyDescent="0.3">
      <c r="A86" s="12" t="s">
        <v>97</v>
      </c>
      <c r="B86" s="11"/>
      <c r="C86" s="11"/>
      <c r="D86" s="11"/>
    </row>
    <row r="87" spans="1:4" x14ac:dyDescent="0.3">
      <c r="B87" t="s">
        <v>98</v>
      </c>
      <c r="C87" s="1" t="s">
        <v>50</v>
      </c>
    </row>
    <row r="88" spans="1:4" x14ac:dyDescent="0.3">
      <c r="A88" t="s">
        <v>99</v>
      </c>
    </row>
    <row r="89" spans="1:4" x14ac:dyDescent="0.3">
      <c r="A89" t="s">
        <v>100</v>
      </c>
      <c r="C89" s="2" t="s">
        <v>19</v>
      </c>
    </row>
    <row r="90" spans="1:4" x14ac:dyDescent="0.3">
      <c r="A90" t="s">
        <v>101</v>
      </c>
      <c r="C90" s="2" t="s">
        <v>21</v>
      </c>
    </row>
    <row r="92" spans="1:4" x14ac:dyDescent="0.3">
      <c r="A92" t="s">
        <v>102</v>
      </c>
    </row>
    <row r="93" spans="1:4" x14ac:dyDescent="0.3">
      <c r="A93" t="s">
        <v>103</v>
      </c>
      <c r="C93" s="2" t="s">
        <v>104</v>
      </c>
    </row>
    <row r="94" spans="1:4" x14ac:dyDescent="0.3">
      <c r="A94" t="s">
        <v>105</v>
      </c>
      <c r="C94" s="2" t="s">
        <v>29</v>
      </c>
    </row>
    <row r="96" spans="1:4" x14ac:dyDescent="0.3">
      <c r="A96" t="s">
        <v>106</v>
      </c>
    </row>
    <row r="97" spans="1:4" x14ac:dyDescent="0.3">
      <c r="A97" t="s">
        <v>107</v>
      </c>
      <c r="C97" s="5" t="s">
        <v>108</v>
      </c>
    </row>
    <row r="98" spans="1:4" x14ac:dyDescent="0.3">
      <c r="A98" t="s">
        <v>109</v>
      </c>
      <c r="C98" s="5" t="s">
        <v>27</v>
      </c>
    </row>
    <row r="100" spans="1:4" x14ac:dyDescent="0.3">
      <c r="A100" t="s">
        <v>110</v>
      </c>
    </row>
    <row r="101" spans="1:4" x14ac:dyDescent="0.3">
      <c r="A101" t="s">
        <v>111</v>
      </c>
      <c r="C101" s="2" t="s">
        <v>35</v>
      </c>
    </row>
    <row r="102" spans="1:4" x14ac:dyDescent="0.3">
      <c r="A102" t="s">
        <v>39</v>
      </c>
      <c r="C102" s="2" t="s">
        <v>40</v>
      </c>
    </row>
    <row r="103" spans="1:4" x14ac:dyDescent="0.3">
      <c r="A103" t="s">
        <v>37</v>
      </c>
      <c r="C103" s="2" t="s">
        <v>38</v>
      </c>
    </row>
    <row r="105" spans="1:4" x14ac:dyDescent="0.3">
      <c r="A105" t="s">
        <v>112</v>
      </c>
    </row>
    <row r="106" spans="1:4" x14ac:dyDescent="0.3">
      <c r="A106" t="s">
        <v>113</v>
      </c>
      <c r="C106" s="2" t="s">
        <v>27</v>
      </c>
    </row>
    <row r="107" spans="1:4" x14ac:dyDescent="0.3">
      <c r="A107" t="s">
        <v>114</v>
      </c>
      <c r="C107" s="2" t="s">
        <v>27</v>
      </c>
    </row>
    <row r="108" spans="1:4" x14ac:dyDescent="0.3">
      <c r="A108" t="s">
        <v>115</v>
      </c>
      <c r="C108" s="2" t="s">
        <v>116</v>
      </c>
    </row>
    <row r="112" spans="1:4" x14ac:dyDescent="0.3">
      <c r="A112" s="12" t="s">
        <v>117</v>
      </c>
      <c r="B112" s="11"/>
      <c r="C112" s="11"/>
      <c r="D112" s="11"/>
    </row>
    <row r="113" spans="1:3" x14ac:dyDescent="0.3">
      <c r="A113" t="s">
        <v>118</v>
      </c>
      <c r="B113" s="2" t="s">
        <v>108</v>
      </c>
      <c r="C113" t="s">
        <v>119</v>
      </c>
    </row>
    <row r="114" spans="1:3" x14ac:dyDescent="0.3">
      <c r="A114" t="s">
        <v>12</v>
      </c>
      <c r="B114" s="2" t="s">
        <v>45</v>
      </c>
      <c r="C114" t="s">
        <v>120</v>
      </c>
    </row>
    <row r="115" spans="1:3" x14ac:dyDescent="0.3">
      <c r="A115" s="7" t="s">
        <v>121</v>
      </c>
      <c r="B115" s="8" t="s">
        <v>116</v>
      </c>
      <c r="C115" s="7" t="s">
        <v>122</v>
      </c>
    </row>
    <row r="117" spans="1:3" x14ac:dyDescent="0.3">
      <c r="A117" t="s">
        <v>123</v>
      </c>
    </row>
    <row r="118" spans="1:3" x14ac:dyDescent="0.3">
      <c r="A118" t="s">
        <v>124</v>
      </c>
      <c r="B118" s="2" t="s">
        <v>61</v>
      </c>
    </row>
    <row r="119" spans="1:3" x14ac:dyDescent="0.3">
      <c r="A119" t="s">
        <v>76</v>
      </c>
      <c r="B119" s="2" t="s">
        <v>72</v>
      </c>
    </row>
    <row r="120" spans="1:3" x14ac:dyDescent="0.3">
      <c r="A120" s="7" t="s">
        <v>125</v>
      </c>
      <c r="B120" s="8" t="s">
        <v>35</v>
      </c>
      <c r="C120" s="7" t="s">
        <v>126</v>
      </c>
    </row>
  </sheetData>
  <mergeCells count="11">
    <mergeCell ref="A54:D54"/>
    <mergeCell ref="A86:D86"/>
    <mergeCell ref="A64:D64"/>
    <mergeCell ref="A112:D112"/>
    <mergeCell ref="A2:D2"/>
    <mergeCell ref="A1:D1"/>
    <mergeCell ref="A40:D40"/>
    <mergeCell ref="A31:D31"/>
    <mergeCell ref="A12:D12"/>
    <mergeCell ref="A4:D4"/>
    <mergeCell ref="A21:D2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EF44-A228-49E3-BE30-3B3063CB9FAC}">
  <dimension ref="A1:K43"/>
  <sheetViews>
    <sheetView tabSelected="1" topLeftCell="A7" workbookViewId="0">
      <selection activeCell="B6" sqref="B6"/>
    </sheetView>
  </sheetViews>
  <sheetFormatPr baseColWidth="10" defaultRowHeight="14.4" x14ac:dyDescent="0.3"/>
  <sheetData>
    <row r="1" spans="1:11" x14ac:dyDescent="0.3">
      <c r="A1" t="s">
        <v>135</v>
      </c>
      <c r="E1" t="s">
        <v>133</v>
      </c>
      <c r="I1" t="s">
        <v>134</v>
      </c>
    </row>
    <row r="2" spans="1:11" x14ac:dyDescent="0.3">
      <c r="A2">
        <v>300000</v>
      </c>
      <c r="B2">
        <v>54000</v>
      </c>
      <c r="C2" t="s">
        <v>127</v>
      </c>
      <c r="E2">
        <v>30000</v>
      </c>
      <c r="F2">
        <v>5400</v>
      </c>
      <c r="G2" t="s">
        <v>127</v>
      </c>
      <c r="I2">
        <v>270000</v>
      </c>
      <c r="J2">
        <v>48600</v>
      </c>
      <c r="K2" t="s">
        <v>127</v>
      </c>
    </row>
    <row r="3" spans="1:11" x14ac:dyDescent="0.3">
      <c r="B3">
        <v>36000</v>
      </c>
      <c r="C3" t="s">
        <v>129</v>
      </c>
      <c r="F3">
        <v>3600</v>
      </c>
      <c r="G3" t="s">
        <v>129</v>
      </c>
      <c r="J3">
        <v>32400</v>
      </c>
      <c r="K3" t="s">
        <v>129</v>
      </c>
    </row>
    <row r="4" spans="1:11" x14ac:dyDescent="0.3">
      <c r="B4">
        <v>245999.99999999997</v>
      </c>
      <c r="C4" t="s">
        <v>128</v>
      </c>
      <c r="F4">
        <v>24600</v>
      </c>
      <c r="G4" t="s">
        <v>128</v>
      </c>
      <c r="J4">
        <v>221400</v>
      </c>
      <c r="K4" t="s">
        <v>128</v>
      </c>
    </row>
    <row r="10" spans="1:11" x14ac:dyDescent="0.3">
      <c r="A10" t="s">
        <v>136</v>
      </c>
      <c r="D10" t="s">
        <v>140</v>
      </c>
      <c r="G10" t="s">
        <v>142</v>
      </c>
    </row>
    <row r="11" spans="1:11" x14ac:dyDescent="0.3">
      <c r="A11" t="s">
        <v>137</v>
      </c>
      <c r="B11">
        <v>54000</v>
      </c>
      <c r="D11" t="s">
        <v>141</v>
      </c>
      <c r="E11">
        <v>48600</v>
      </c>
    </row>
    <row r="12" spans="1:11" x14ac:dyDescent="0.3">
      <c r="A12" t="s">
        <v>138</v>
      </c>
      <c r="B12">
        <v>48600</v>
      </c>
      <c r="G12" s="1" t="s">
        <v>133</v>
      </c>
      <c r="H12" s="1" t="s">
        <v>144</v>
      </c>
      <c r="I12" s="1"/>
      <c r="J12" s="1" t="s">
        <v>143</v>
      </c>
    </row>
    <row r="13" spans="1:11" x14ac:dyDescent="0.3">
      <c r="A13" t="s">
        <v>139</v>
      </c>
      <c r="B13">
        <v>5400</v>
      </c>
      <c r="G13" s="1">
        <v>30000</v>
      </c>
      <c r="H13" s="1">
        <v>270000</v>
      </c>
      <c r="I13" s="1">
        <f>SUM(G13:H13)</f>
        <v>300000</v>
      </c>
      <c r="J13" s="1">
        <f>I13-I14</f>
        <v>264000</v>
      </c>
    </row>
    <row r="14" spans="1:11" x14ac:dyDescent="0.3">
      <c r="F14" s="1" t="s">
        <v>145</v>
      </c>
      <c r="G14" s="1">
        <v>3600</v>
      </c>
      <c r="H14" s="1">
        <v>32400</v>
      </c>
      <c r="I14" s="1">
        <f>SUM(G14:H14)</f>
        <v>36000</v>
      </c>
    </row>
    <row r="18" spans="1:9" x14ac:dyDescent="0.3">
      <c r="G18" t="s">
        <v>146</v>
      </c>
      <c r="H18" t="s">
        <v>147</v>
      </c>
      <c r="I18" t="s">
        <v>148</v>
      </c>
    </row>
    <row r="19" spans="1:9" x14ac:dyDescent="0.3">
      <c r="G19">
        <v>234000</v>
      </c>
      <c r="H19">
        <f>G19*0.1</f>
        <v>23400</v>
      </c>
      <c r="I19">
        <f>G19*0.9</f>
        <v>210600</v>
      </c>
    </row>
    <row r="20" spans="1:9" x14ac:dyDescent="0.3">
      <c r="G20" t="s">
        <v>149</v>
      </c>
    </row>
    <row r="21" spans="1:9" x14ac:dyDescent="0.3">
      <c r="G21">
        <v>30000</v>
      </c>
      <c r="H21">
        <f t="shared" ref="H21:H23" si="0">G21*0.1</f>
        <v>3000</v>
      </c>
      <c r="I21">
        <f t="shared" ref="I21:I23" si="1">G21*0.9</f>
        <v>27000</v>
      </c>
    </row>
    <row r="22" spans="1:9" x14ac:dyDescent="0.3">
      <c r="G22" t="s">
        <v>150</v>
      </c>
    </row>
    <row r="23" spans="1:9" x14ac:dyDescent="0.3">
      <c r="G23">
        <v>36000</v>
      </c>
      <c r="H23">
        <f t="shared" si="0"/>
        <v>3600</v>
      </c>
      <c r="I23">
        <f t="shared" si="1"/>
        <v>32400</v>
      </c>
    </row>
    <row r="25" spans="1:9" x14ac:dyDescent="0.3">
      <c r="H25">
        <f>SUM(H19:H23)</f>
        <v>30000</v>
      </c>
      <c r="I25">
        <f>SUM(I19:I23)</f>
        <v>270000</v>
      </c>
    </row>
    <row r="26" spans="1:9" x14ac:dyDescent="0.3">
      <c r="G26" t="s">
        <v>164</v>
      </c>
      <c r="H26">
        <f>H25*0.18</f>
        <v>5400</v>
      </c>
      <c r="I26">
        <f>I25*0.18</f>
        <v>48600</v>
      </c>
    </row>
    <row r="28" spans="1:9" x14ac:dyDescent="0.3">
      <c r="A28" t="s">
        <v>151</v>
      </c>
    </row>
    <row r="30" spans="1:9" x14ac:dyDescent="0.3">
      <c r="A30" t="s">
        <v>152</v>
      </c>
    </row>
    <row r="31" spans="1:9" x14ac:dyDescent="0.3">
      <c r="A31" t="s">
        <v>153</v>
      </c>
    </row>
    <row r="32" spans="1:9" x14ac:dyDescent="0.3">
      <c r="A32" t="s">
        <v>154</v>
      </c>
    </row>
    <row r="33" spans="1:1" x14ac:dyDescent="0.3">
      <c r="A33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1" spans="1:1" x14ac:dyDescent="0.3">
      <c r="A41" t="s">
        <v>161</v>
      </c>
    </row>
    <row r="42" spans="1:1" x14ac:dyDescent="0.3">
      <c r="A42" t="s">
        <v>162</v>
      </c>
    </row>
    <row r="43" spans="1:1" x14ac:dyDescent="0.3">
      <c r="A4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 Tributario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Castañeda Bardales Jorge Elias - Practicante</cp:lastModifiedBy>
  <dcterms:created xsi:type="dcterms:W3CDTF">2025-12-10T16:16:31Z</dcterms:created>
  <dcterms:modified xsi:type="dcterms:W3CDTF">2025-12-10T18:52:45Z</dcterms:modified>
</cp:coreProperties>
</file>